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chool\openu-courses\Lab B\Lab5\"/>
    </mc:Choice>
  </mc:AlternateContent>
  <xr:revisionPtr revIDLastSave="0" documentId="13_ncr:1_{C37B094F-C657-4890-BAA8-E0412736B15C}" xr6:coauthVersionLast="47" xr6:coauthVersionMax="47" xr10:uidLastSave="{00000000-0000-0000-0000-000000000000}"/>
  <bookViews>
    <workbookView xWindow="-96" yWindow="-96" windowWidth="30912" windowHeight="16872" xr2:uid="{C5135034-2A80-4285-B967-A19FE3C869E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 a="1"/>
  <c r="G4" i="1"/>
  <c r="G5" i="1"/>
  <c r="G6" i="1"/>
  <c r="G7" i="1"/>
  <c r="G8" i="1"/>
  <c r="G9" i="1"/>
  <c r="G10" i="1"/>
  <c r="G11" i="1"/>
  <c r="G12" i="1"/>
  <c r="G3" i="1"/>
  <c r="F3" i="1"/>
  <c r="F4" i="1"/>
  <c r="F5" i="1"/>
  <c r="F6" i="1"/>
  <c r="F7" i="1"/>
  <c r="F8" i="1"/>
  <c r="F9" i="1"/>
  <c r="F10" i="1"/>
  <c r="F11" i="1"/>
  <c r="F12" i="1"/>
  <c r="D12" i="1"/>
  <c r="D11" i="1"/>
  <c r="D10" i="1"/>
  <c r="D9" i="1"/>
  <c r="D8" i="1"/>
  <c r="D7" i="1"/>
  <c r="D6" i="1"/>
  <c r="D5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<sst xmlns="http://schemas.openxmlformats.org/spreadsheetml/2006/main" count="4" uniqueCount="4">
  <si>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angle (degrees)</t>
  </si>
  <si>
    <t>current (mA)</t>
  </si>
  <si>
    <t>sin(angle)^4</t>
  </si>
  <si>
    <t>I/I_max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</si>
</sst>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3928006000244944"/>
                  <c:y val="5.548400769716647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0.9662x + 0.0544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m = 0.9662 ± 0.0385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b = 0.0544 ± 0.0209</a:t>
                    </a:r>
                    <a:br>
                      <a:rPr lang="en-US" baseline="0"/>
                    </a:br>
                    <a:r>
                      <a:rPr lang="en-US" baseline="0"/>
                      <a:t>R² = 0.9875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גיליון1!$F$3:$F$12</c:f>
              <c:numCache>
                <c:formatCode>General</c:formatCode>
                <c:ptCount val="10"/>
                <c:pt idx="0">
                  <c:v>0</c:v>
                </c:pt>
                <c:pt idx="1">
                  <c:v>9.0924499691806212E-4</c:v>
                </c:pt>
                <c:pt idx="2">
                  <c:v>1.3683800648877273E-2</c:v>
                </c:pt>
                <c:pt idx="3">
                  <c:v>6.2499999999999972E-2</c:v>
                </c:pt>
                <c:pt idx="4">
                  <c:v>0.17071433356829621</c:v>
                </c:pt>
                <c:pt idx="5">
                  <c:v>0.3443625112352266</c:v>
                </c:pt>
                <c:pt idx="6">
                  <c:v>0.56249999999999978</c:v>
                </c:pt>
                <c:pt idx="7">
                  <c:v>0.77972824376785499</c:v>
                </c:pt>
                <c:pt idx="8">
                  <c:v>0.94060186578282623</c:v>
                </c:pt>
                <c:pt idx="9">
                  <c:v>1</c:v>
                </c:pt>
              </c:numCache>
            </c:numRef>
          </c:xVal>
          <c:yVal>
            <c:numRef>
              <c:f>גיליון1!$G$3:$G$12</c:f>
              <c:numCache>
                <c:formatCode>General</c:formatCode>
                <c:ptCount val="10"/>
                <c:pt idx="0">
                  <c:v>4.3478260869565209E-3</c:v>
                </c:pt>
                <c:pt idx="1">
                  <c:v>4.3478260869565209E-3</c:v>
                </c:pt>
                <c:pt idx="2">
                  <c:v>3.9130434782608699E-2</c:v>
                </c:pt>
                <c:pt idx="3">
                  <c:v>0.1456521739130435</c:v>
                </c:pt>
                <c:pt idx="4">
                  <c:v>0.28985507246376813</c:v>
                </c:pt>
                <c:pt idx="5">
                  <c:v>0.44927536231884058</c:v>
                </c:pt>
                <c:pt idx="6">
                  <c:v>0.5942028985507245</c:v>
                </c:pt>
                <c:pt idx="7">
                  <c:v>0.82608695652173914</c:v>
                </c:pt>
                <c:pt idx="8">
                  <c:v>0.93478260869565211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0-4672-9DAE-899A7832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068975"/>
        <c:axId val="1690653695"/>
      </c:scatterChart>
      <c:valAx>
        <c:axId val="155606897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סינוס זווית ברביעית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690653695"/>
        <c:crosses val="autoZero"/>
        <c:crossBetween val="midCat"/>
      </c:valAx>
      <c:valAx>
        <c:axId val="169065369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זרם יחסי לזרם המקסימלי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606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324802</xdr:colOff>
      <xdr:row>1</xdr:row>
      <xdr:rowOff>20002</xdr:rowOff>
    </xdr:from>
    <xdr:to>
      <xdr:col>15</xdr:col>
      <xdr:colOff>532086</xdr:colOff>
      <xdr:row>18</xdr:row>
      <xdr:rowOff>26275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6CE4F824-85EC-4B5D-AA51-33D3ECFC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AE54-8A1E-4A47-85A3-3E85D95DA6DE}">
  <dimension ref="C2:G19"/>
  <sheetViews>
    <sheetView rightToLeft="1" tabSelected="1" zoomScale="145" zoomScaleNormal="145" workbookViewId="0">
      <selection activeCell="C19" sqref="C19"/>
    </sheetView>
  </sheetViews>
  <sheetFormatPr defaultRowHeight="14.4" x14ac:dyDescent="0.3"/>
  <cols>
    <col min="3" max="3" width="13.77734375" bestFit="1" customWidth="1"/>
    <col min="4" max="4" width="11.109375" bestFit="1" customWidth="1"/>
    <col min="6" max="6" width="11.88671875" bestFit="1" customWidth="1"/>
    <col min="8" max="8" width="0" hidden="1" customWidth="1"/>
  </cols>
  <sheetData>
    <row r="2" spans="3:7" x14ac:dyDescent="0.3">
      <c r="C2" t="s">
        <v>0</v>
      </c>
      <c r="D2" t="s">
        <v>1</v>
      </c>
      <c r="F2" t="s">
        <v>2</v>
      </c>
      <c r="G2" t="s">
        <v>3</v>
      </c>
    </row>
    <row r="3" spans="3:7" x14ac:dyDescent="0.3">
      <c r="C3">
        <v>0</v>
      </c>
      <c r="D3">
        <f>0.02*3</f>
        <v>0.06</v>
      </c>
      <c r="F3">
        <f t="shared" ref="F3:F12" si="0">SIN(C3 * PI() / 180)^4</f>
        <v>0</v>
      </c>
      <c r="G3">
        <f>D3/13.8</f>
        <v>4.3478260869565209E-3</v>
      </c>
    </row>
    <row r="4" spans="3:7" x14ac:dyDescent="0.3">
      <c r="C4">
        <v>10</v>
      </c>
      <c r="D4">
        <f>0.02*3</f>
        <v>0.06</v>
      </c>
      <c r="F4">
        <f t="shared" si="0"/>
        <v>9.0924499691806212E-4</v>
      </c>
      <c r="G4">
        <f t="shared" ref="G4:G12" si="1">D4/13.8</f>
        <v>4.3478260869565209E-3</v>
      </c>
    </row>
    <row r="5" spans="3:7" x14ac:dyDescent="0.3">
      <c r="C5">
        <v>20</v>
      </c>
      <c r="D5">
        <f>0.18*3</f>
        <v>0.54</v>
      </c>
      <c r="F5">
        <f t="shared" si="0"/>
        <v>1.3683800648877273E-2</v>
      </c>
      <c r="G5">
        <f t="shared" si="1"/>
        <v>3.9130434782608699E-2</v>
      </c>
    </row>
    <row r="6" spans="3:7" x14ac:dyDescent="0.3">
      <c r="C6">
        <v>30</v>
      </c>
      <c r="D6">
        <f>0.67*3</f>
        <v>2.0100000000000002</v>
      </c>
      <c r="F6">
        <f t="shared" si="0"/>
        <v>6.2499999999999972E-2</v>
      </c>
      <c r="G6">
        <f t="shared" si="1"/>
        <v>0.1456521739130435</v>
      </c>
    </row>
    <row r="7" spans="3:7" x14ac:dyDescent="0.3">
      <c r="C7">
        <v>40</v>
      </c>
      <c r="D7">
        <f>0.4*10</f>
        <v>4</v>
      </c>
      <c r="F7">
        <f t="shared" si="0"/>
        <v>0.17071433356829621</v>
      </c>
      <c r="G7">
        <f t="shared" si="1"/>
        <v>0.28985507246376813</v>
      </c>
    </row>
    <row r="8" spans="3:7" x14ac:dyDescent="0.3">
      <c r="C8">
        <v>50</v>
      </c>
      <c r="D8">
        <f>0.62*10</f>
        <v>6.2</v>
      </c>
      <c r="F8">
        <f t="shared" si="0"/>
        <v>0.3443625112352266</v>
      </c>
      <c r="G8">
        <f t="shared" si="1"/>
        <v>0.44927536231884058</v>
      </c>
    </row>
    <row r="9" spans="3:7" x14ac:dyDescent="0.3">
      <c r="C9">
        <v>60</v>
      </c>
      <c r="D9">
        <f>0.82*10</f>
        <v>8.1999999999999993</v>
      </c>
      <c r="F9">
        <f t="shared" si="0"/>
        <v>0.56249999999999978</v>
      </c>
      <c r="G9">
        <f t="shared" si="1"/>
        <v>0.5942028985507245</v>
      </c>
    </row>
    <row r="10" spans="3:7" x14ac:dyDescent="0.3">
      <c r="C10">
        <v>70</v>
      </c>
      <c r="D10">
        <f>0.38*30</f>
        <v>11.4</v>
      </c>
      <c r="F10">
        <f t="shared" si="0"/>
        <v>0.77972824376785499</v>
      </c>
      <c r="G10">
        <f t="shared" si="1"/>
        <v>0.82608695652173914</v>
      </c>
    </row>
    <row r="11" spans="3:7" x14ac:dyDescent="0.3">
      <c r="C11">
        <v>80</v>
      </c>
      <c r="D11">
        <f>0.43*30</f>
        <v>12.9</v>
      </c>
      <c r="F11">
        <f t="shared" si="0"/>
        <v>0.94060186578282623</v>
      </c>
      <c r="G11">
        <f t="shared" si="1"/>
        <v>0.93478260869565211</v>
      </c>
    </row>
    <row r="12" spans="3:7" x14ac:dyDescent="0.3">
      <c r="C12">
        <v>90</v>
      </c>
      <c r="D12">
        <f>0.46*30</f>
        <v>13.8</v>
      </c>
      <c r="F12">
        <f t="shared" si="0"/>
        <v>1</v>
      </c>
      <c r="G12">
        <f t="shared" si="1"/>
        <v>1</v>
      </c>
    </row>
    <row r="15" spans="3:7" x14ac:dyDescent="0.3">
      <c r="F15" cm="1">
        <f t="array" ref="F15:G19">LINEST(G3:G12, F3:F12, TRUE, TRUE)</f>
        <v>0.96615534288098903</v>
      </c>
      <c r="G15">
        <v>5.438292057564581E-2</v>
      </c>
    </row>
    <row r="16" spans="3:7" x14ac:dyDescent="0.3">
      <c r="F16">
        <v>3.8471437832533158E-2</v>
      </c>
      <c r="G16">
        <v>2.0934039442638962E-2</v>
      </c>
    </row>
    <row r="17" spans="6:7" x14ac:dyDescent="0.3">
      <c r="F17">
        <v>0.98747439401859083</v>
      </c>
      <c r="G17">
        <v>4.6475264388618945E-2</v>
      </c>
    </row>
    <row r="18" spans="6:7" x14ac:dyDescent="0.3">
      <c r="F18">
        <v>630.69165387078647</v>
      </c>
      <c r="G18">
        <v>8</v>
      </c>
    </row>
    <row r="19" spans="6:7" x14ac:dyDescent="0.3">
      <c r="F19">
        <v>1.3622625639115109</v>
      </c>
      <c r="G19">
        <v>1.7279601599936259E-2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</dc:creator>
  <cp:lastModifiedBy>Shai Roemi</cp:lastModifiedBy>
  <dcterms:created xsi:type="dcterms:W3CDTF">2026-07-27T10:20:06Z</dcterms:created>
  <dcterms:modified xsi:type="dcterms:W3CDTF">2026-08-04T18:00:23Z</dcterms:modified>
</cp:coreProperties>
</file>