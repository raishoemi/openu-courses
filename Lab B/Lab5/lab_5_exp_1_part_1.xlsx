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chool\openu-courses\Lab B\Lab5\"/>
    </mc:Choice>
  </mc:AlternateContent>
  <xr:revisionPtr revIDLastSave="0" documentId="13_ncr:1_{C46D9C4F-DB7D-46D9-AF62-9F3BE9025675}" xr6:coauthVersionLast="47" xr6:coauthVersionMax="47" xr10:uidLastSave="{00000000-0000-0000-0000-000000000000}"/>
  <bookViews>
    <workbookView xWindow="-28920" yWindow="2655" windowWidth="29040" windowHeight="16440" xr2:uid="{AB813509-1AFB-4223-9A13-DD6BD83CFE0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 a="1"/>
  <c r="F5" i="1"/>
  <c r="F6" i="1"/>
  <c r="F7" i="1"/>
  <c r="F8" i="1"/>
  <c r="F9" i="1"/>
  <c r="F10" i="1"/>
  <c r="F11" i="1"/>
  <c r="F12" i="1"/>
  <c r="F3" i="1"/>
  <c r="F4" i="1"/>
  <c r="G4" i="1"/>
  <c r="G5" i="1"/>
  <c r="G6" i="1"/>
  <c r="G7" i="1"/>
  <c r="G8" i="1"/>
  <c r="G9" i="1"/>
  <c r="G10" i="1"/>
  <c r="G11" i="1"/>
  <c r="G12" i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<sst xmlns="http://schemas.openxmlformats.org/spreadsheetml/2006/main" count="4" uniqueCount="4">
  <si>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angle</t>
  </si>
  <si>
    <t>current (mA)</t>
  </si>
  <si>
    <t>cos(angle)^2</t>
  </si>
  <si>
    <t>I/I_max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</si>
</sst>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141996884535774"/>
                  <c:y val="0.1054411524414748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m = 0.8521x </a:t>
                    </a:r>
                    <a:r>
                      <a:rPr lang="en-US" sz="900" b="0" i="0" u="none" strike="noStrike" baseline="0">
                        <a:effectLst/>
                      </a:rPr>
                      <a:t>± 0.096</a:t>
                    </a:r>
                    <a:br>
                      <a:rPr lang="en-US" baseline="0"/>
                    </a:br>
                    <a:r>
                      <a:rPr lang="en-US" baseline="0"/>
                      <a:t>b=0.2105 ± 0.06</a:t>
                    </a:r>
                    <a:br>
                      <a:rPr lang="en-US" baseline="0"/>
                    </a:br>
                    <a:r>
                      <a:rPr lang="en-US" baseline="0"/>
                      <a:t>R² = 0.908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גיליון1!$F$3:$F$12</c:f>
              <c:numCache>
                <c:formatCode>General</c:formatCode>
                <c:ptCount val="10"/>
                <c:pt idx="0">
                  <c:v>1</c:v>
                </c:pt>
                <c:pt idx="1">
                  <c:v>0.9698463103929541</c:v>
                </c:pt>
                <c:pt idx="2">
                  <c:v>0.88302222155948906</c:v>
                </c:pt>
                <c:pt idx="3">
                  <c:v>0.75000000000000011</c:v>
                </c:pt>
                <c:pt idx="4">
                  <c:v>0.58682408883346515</c:v>
                </c:pt>
                <c:pt idx="5">
                  <c:v>0.41317591116653485</c:v>
                </c:pt>
                <c:pt idx="6">
                  <c:v>0.25000000000000011</c:v>
                </c:pt>
                <c:pt idx="7">
                  <c:v>0.11697777844051105</c:v>
                </c:pt>
                <c:pt idx="8">
                  <c:v>3.0153689607045831E-2</c:v>
                </c:pt>
                <c:pt idx="9">
                  <c:v>3.7524718414124473E-33</c:v>
                </c:pt>
              </c:numCache>
            </c:numRef>
          </c:xVal>
          <c:yVal>
            <c:numRef>
              <c:f>גיליון1!$G$3:$G$12</c:f>
              <c:numCache>
                <c:formatCode>General</c:formatCode>
                <c:ptCount val="10"/>
                <c:pt idx="0">
                  <c:v>1</c:v>
                </c:pt>
                <c:pt idx="1">
                  <c:v>0.96153846153846156</c:v>
                </c:pt>
                <c:pt idx="2">
                  <c:v>0.92307692307692313</c:v>
                </c:pt>
                <c:pt idx="3">
                  <c:v>0.88461538461538458</c:v>
                </c:pt>
                <c:pt idx="4">
                  <c:v>0.80769230769230771</c:v>
                </c:pt>
                <c:pt idx="5">
                  <c:v>0.69230769230769229</c:v>
                </c:pt>
                <c:pt idx="6">
                  <c:v>0.53846153846153844</c:v>
                </c:pt>
                <c:pt idx="7">
                  <c:v>0.36538461538461536</c:v>
                </c:pt>
                <c:pt idx="8">
                  <c:v>0.19230769230769232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73-48A0-800F-A731757CE54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257604480"/>
        <c:axId val="2072664992"/>
      </c:scatterChart>
      <c:valAx>
        <c:axId val="25760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ריבוע קוסינוס הזווית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664992"/>
        <c:crosses val="autoZero"/>
        <c:crossBetween val="midCat"/>
      </c:valAx>
      <c:valAx>
        <c:axId val="207266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זרם</a:t>
                </a:r>
                <a:r>
                  <a:rPr lang="he-IL" baseline="0"/>
                  <a:t> יחסי לזרם המקסימלי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60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436246</xdr:colOff>
      <xdr:row>4</xdr:row>
      <xdr:rowOff>177165</xdr:rowOff>
    </xdr:from>
    <xdr:to>
      <xdr:col>19</xdr:col>
      <xdr:colOff>200026</xdr:colOff>
      <xdr:row>23</xdr:row>
      <xdr:rowOff>135255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5E1B40-8B8E-A07B-087A-E2CDB2D50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B350-DE89-4191-B7AE-F1D19D7B3323}">
  <dimension ref="B2:H21"/>
  <sheetViews>
    <sheetView rightToLeft="1" tabSelected="1" workbookViewId="0">
      <selection activeCell="G18" sqref="G18"/>
    </sheetView>
  </sheetViews>
  <sheetFormatPr defaultRowHeight="14.4" x14ac:dyDescent="0.3"/>
  <cols>
    <col min="2" max="2" width="5.21875" bestFit="1" customWidth="1"/>
    <col min="3" max="3" width="11.109375" bestFit="1" customWidth="1"/>
    <col min="5" max="5" width="11.88671875" bestFit="1" customWidth="1"/>
    <col min="6" max="6" width="12.21875" bestFit="1" customWidth="1"/>
  </cols>
  <sheetData>
    <row r="2" spans="2:7" x14ac:dyDescent="0.3">
      <c r="B2" t="s">
        <v>0</v>
      </c>
      <c r="C2" t="s">
        <v>1</v>
      </c>
      <c r="F2" t="s">
        <v>2</v>
      </c>
      <c r="G2" t="s">
        <v>3</v>
      </c>
    </row>
    <row r="3" spans="2:7" x14ac:dyDescent="0.3">
      <c r="B3">
        <v>0</v>
      </c>
      <c r="C3">
        <v>156</v>
      </c>
      <c r="F3">
        <f>POWER(COS(B3 * PI() / 180), 2)</f>
        <v>1</v>
      </c>
      <c r="G3">
        <f>C3/156</f>
        <v>1</v>
      </c>
    </row>
    <row r="4" spans="2:7" x14ac:dyDescent="0.3">
      <c r="B4">
        <v>10</v>
      </c>
      <c r="C4">
        <v>150</v>
      </c>
      <c r="F4">
        <f>POWER(COS(B4 * PI() / 180), 2)</f>
        <v>0.9698463103929541</v>
      </c>
      <c r="G4">
        <f>C4/156</f>
        <v>0.96153846153846156</v>
      </c>
    </row>
    <row r="5" spans="2:7" x14ac:dyDescent="0.3">
      <c r="B5">
        <v>20</v>
      </c>
      <c r="C5">
        <v>144</v>
      </c>
      <c r="F5">
        <f t="shared" ref="F5:F12" si="0">POWER(COS(B5 * PI() / 180), 2)</f>
        <v>0.88302222155948906</v>
      </c>
      <c r="G5">
        <f>C5/156</f>
        <v>0.92307692307692313</v>
      </c>
    </row>
    <row r="6" spans="2:7" x14ac:dyDescent="0.3">
      <c r="B6">
        <v>30</v>
      </c>
      <c r="C6">
        <v>138</v>
      </c>
      <c r="F6">
        <f t="shared" si="0"/>
        <v>0.75000000000000011</v>
      </c>
      <c r="G6">
        <f>C6/156</f>
        <v>0.88461538461538458</v>
      </c>
    </row>
    <row r="7" spans="2:7" x14ac:dyDescent="0.3">
      <c r="B7">
        <v>40</v>
      </c>
      <c r="C7">
        <v>126</v>
      </c>
      <c r="F7">
        <f t="shared" si="0"/>
        <v>0.58682408883346515</v>
      </c>
      <c r="G7">
        <f>C7/156</f>
        <v>0.80769230769230771</v>
      </c>
    </row>
    <row r="8" spans="2:7" x14ac:dyDescent="0.3">
      <c r="B8">
        <v>50</v>
      </c>
      <c r="C8">
        <v>108</v>
      </c>
      <c r="F8">
        <f t="shared" si="0"/>
        <v>0.41317591116653485</v>
      </c>
      <c r="G8">
        <f>C8/156</f>
        <v>0.69230769230769229</v>
      </c>
    </row>
    <row r="9" spans="2:7" x14ac:dyDescent="0.3">
      <c r="B9">
        <v>60</v>
      </c>
      <c r="C9">
        <v>84</v>
      </c>
      <c r="F9">
        <f t="shared" si="0"/>
        <v>0.25000000000000011</v>
      </c>
      <c r="G9">
        <f>C9/156</f>
        <v>0.53846153846153844</v>
      </c>
    </row>
    <row r="10" spans="2:7" x14ac:dyDescent="0.3">
      <c r="B10">
        <v>70</v>
      </c>
      <c r="C10">
        <v>57</v>
      </c>
      <c r="F10">
        <f t="shared" si="0"/>
        <v>0.11697777844051105</v>
      </c>
      <c r="G10">
        <f>C10/156</f>
        <v>0.36538461538461536</v>
      </c>
    </row>
    <row r="11" spans="2:7" x14ac:dyDescent="0.3">
      <c r="B11">
        <v>80</v>
      </c>
      <c r="C11">
        <v>30</v>
      </c>
      <c r="F11">
        <f t="shared" si="0"/>
        <v>3.0153689607045831E-2</v>
      </c>
      <c r="G11">
        <f>C11/156</f>
        <v>0.19230769230769232</v>
      </c>
    </row>
    <row r="12" spans="2:7" x14ac:dyDescent="0.3">
      <c r="B12">
        <v>90</v>
      </c>
      <c r="C12">
        <v>0</v>
      </c>
      <c r="F12">
        <f t="shared" si="0"/>
        <v>3.7524718414124473E-33</v>
      </c>
      <c r="G12">
        <f>C12/156</f>
        <v>0</v>
      </c>
    </row>
    <row r="17" spans="7:8" x14ac:dyDescent="0.3">
      <c r="G17" cm="1">
        <f t="array" ref="G17:H21">LINEST(G3:G12,F3:F12, TRUE, TRUE)</f>
        <v>0.85206211711809987</v>
      </c>
      <c r="H17">
        <v>0.21050740297941167</v>
      </c>
    </row>
    <row r="18" spans="7:8" x14ac:dyDescent="0.3">
      <c r="G18">
        <v>9.5907967513840064E-2</v>
      </c>
      <c r="H18">
        <v>5.9702228309723701E-2</v>
      </c>
    </row>
    <row r="19" spans="7:8" x14ac:dyDescent="0.3">
      <c r="G19">
        <v>0.907970206737018</v>
      </c>
      <c r="H19">
        <v>0.11246206057988724</v>
      </c>
    </row>
    <row r="20" spans="7:8" x14ac:dyDescent="0.3">
      <c r="G20">
        <v>78.928370871587205</v>
      </c>
      <c r="H20">
        <v>8</v>
      </c>
    </row>
    <row r="21" spans="7:8" x14ac:dyDescent="0.3">
      <c r="G21">
        <v>0.99826354571319564</v>
      </c>
      <c r="H21">
        <v>0.10118172055899383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Teva</dc:creator>
  <cp:lastModifiedBy>Shai Roemi</cp:lastModifiedBy>
  <dcterms:created xsi:type="dcterms:W3CDTF">2026-07-27T09:55:39Z</dcterms:created>
  <dcterms:modified xsi:type="dcterms:W3CDTF">2026-08-03T17:18:10Z</dcterms:modified>
</cp:coreProperties>
</file>