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School\openu-courses\Lab B\Lab1\"/>
    </mc:Choice>
  </mc:AlternateContent>
  <xr:revisionPtr revIDLastSave="0" documentId="13_ncr:1_{621D318A-38D5-48E4-A357-C5D061ED891E}" xr6:coauthVersionLast="47" xr6:coauthVersionMax="47" xr10:uidLastSave="{00000000-0000-0000-0000-000000000000}"/>
  <bookViews>
    <workbookView xWindow="-108" yWindow="-108" windowWidth="30936" windowHeight="16896" xr2:uid="{C46B4582-42AC-472A-922D-BF640C0959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2" i="1" l="1" a="1"/>
  <c r="B9" i="1" a="1"/>
  <c r="B30" i="1" a="1"/>
  <c r="C50" i="1"/>
  <c r="C49" i="1"/>
  <c r="C48" i="1"/>
  <c r="C47" i="1"/>
  <c r="C46" i="1"/>
  <c r="C25" i="1"/>
  <c r="C26" i="1"/>
  <c r="C27" i="1"/>
  <c r="C28" i="1"/>
  <c r="C24" i="1"/>
  <c r="C4" i="1"/>
  <c r="C5" i="1"/>
  <c r="C6" i="1"/>
  <c r="C7" i="1"/>
  <c r="C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Yellow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814304461942257"/>
                  <c:y val="6.439814814814814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6.366 </a:t>
                    </a:r>
                    <a:r>
                      <a:rPr lang="en-US" sz="900" b="0" i="0" u="none" strike="noStrike" baseline="0">
                        <a:effectLst/>
                      </a:rPr>
                      <a:t>(± 0.203)</a:t>
                    </a:r>
                    <a:r>
                      <a:rPr lang="en-US" baseline="0"/>
                      <a:t>x - 0.736</a:t>
                    </a:r>
                    <a:br>
                      <a:rPr lang="en-US" baseline="0"/>
                    </a:br>
                    <a:r>
                      <a:rPr lang="en-US" baseline="0"/>
                      <a:t>R² = 0.9969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Sheet1!$B$3:$B$7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Sheet1!$C$3:$C$7</c:f>
              <c:numCache>
                <c:formatCode>General</c:formatCode>
                <c:ptCount val="5"/>
                <c:pt idx="0">
                  <c:v>6.25</c:v>
                </c:pt>
                <c:pt idx="1">
                  <c:v>11.559999999999999</c:v>
                </c:pt>
                <c:pt idx="2">
                  <c:v>17.64</c:v>
                </c:pt>
                <c:pt idx="3">
                  <c:v>25</c:v>
                </c:pt>
                <c:pt idx="4">
                  <c:v>31.359999999999996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6D-4011-9F24-51DA9D998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977568"/>
        <c:axId val="1932977088"/>
      </c:scatterChart>
      <c:valAx>
        <c:axId val="193297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977088"/>
        <c:crosses val="autoZero"/>
        <c:crossBetween val="midCat"/>
      </c:valAx>
      <c:valAx>
        <c:axId val="193297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r_m^2 [mm^2]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97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Green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92541557305337"/>
                  <c:y val="9.217592592592592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5.783 (</a:t>
                    </a:r>
                    <a:r>
                      <a:rPr lang="en-US" sz="900" b="0" i="0" u="none" strike="noStrike" baseline="0">
                        <a:effectLst/>
                      </a:rPr>
                      <a:t>±</a:t>
                    </a:r>
                    <a:r>
                      <a:rPr lang="en-US" baseline="0"/>
                      <a:t> </a:t>
                    </a:r>
                    <a:r>
                      <a:rPr lang="en-US" sz="900" b="0" i="0" u="none" strike="noStrike" baseline="0">
                        <a:effectLst/>
                      </a:rPr>
                      <a:t>0.279)</a:t>
                    </a:r>
                    <a:r>
                      <a:rPr lang="en-US" baseline="0"/>
                      <a:t>x - 1.243</a:t>
                    </a:r>
                    <a:br>
                      <a:rPr lang="en-US" baseline="0"/>
                    </a:br>
                    <a:r>
                      <a:rPr lang="en-US" baseline="0"/>
                      <a:t>R² = 0.9931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Sheet1!$B$24:$B$28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Sheet1!$C$24:$C$28</c:f>
              <c:numCache>
                <c:formatCode>General</c:formatCode>
                <c:ptCount val="5"/>
                <c:pt idx="0">
                  <c:v>4.8400000000000007</c:v>
                </c:pt>
                <c:pt idx="1">
                  <c:v>9.6100000000000012</c:v>
                </c:pt>
                <c:pt idx="2">
                  <c:v>16</c:v>
                </c:pt>
                <c:pt idx="3">
                  <c:v>23.04</c:v>
                </c:pt>
                <c:pt idx="4">
                  <c:v>27.040000000000003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C9-4520-BC35-500911DA1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93504"/>
        <c:axId val="25787264"/>
      </c:scatterChart>
      <c:valAx>
        <c:axId val="2579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87264"/>
        <c:crosses val="autoZero"/>
        <c:crossBetween val="midCat"/>
      </c:valAx>
      <c:valAx>
        <c:axId val="2578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r_m^2 [mm^2]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9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636526684164482"/>
                  <c:y val="9.680555555555556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5.84</a:t>
                    </a:r>
                    <a:r>
                      <a:rPr lang="en-US" sz="900" b="0" i="0" u="none" strike="noStrike" baseline="0">
                        <a:effectLst/>
                      </a:rPr>
                      <a:t> (± 0.163)</a:t>
                    </a:r>
                    <a:r>
                      <a:rPr lang="en-US" baseline="0"/>
                      <a:t>x - 0.826</a:t>
                    </a:r>
                    <a:br>
                      <a:rPr lang="en-US" baseline="0"/>
                    </a:br>
                    <a:r>
                      <a:rPr lang="en-US" baseline="0"/>
                      <a:t>R² = 0.9977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Sheet1!$B$46:$B$50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Sheet1!$C$46:$C$50</c:f>
              <c:numCache>
                <c:formatCode>General</c:formatCode>
                <c:ptCount val="5"/>
                <c:pt idx="0">
                  <c:v>5.2899999999999991</c:v>
                </c:pt>
                <c:pt idx="1">
                  <c:v>10.240000000000002</c:v>
                </c:pt>
                <c:pt idx="2">
                  <c:v>16.809999999999999</c:v>
                </c:pt>
                <c:pt idx="3">
                  <c:v>23.04</c:v>
                </c:pt>
                <c:pt idx="4">
                  <c:v>28.09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5C-4FD9-A3E3-C348AD376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3234336"/>
        <c:axId val="2023232416"/>
      </c:scatterChart>
      <c:valAx>
        <c:axId val="202323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232416"/>
        <c:crosses val="autoZero"/>
        <c:crossBetween val="midCat"/>
      </c:valAx>
      <c:valAx>
        <c:axId val="202323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r_m^2 [mm^2]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23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213360</xdr:colOff>
      <xdr:row>1</xdr:row>
      <xdr:rowOff>26670</xdr:rowOff>
    </xdr:from>
    <xdr:to>
      <xdr:col>12</xdr:col>
      <xdr:colOff>518160</xdr:colOff>
      <xdr:row>16</xdr:row>
      <xdr:rowOff>26670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FB4C4D-346B-065E-6725-7C6E53992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205740</xdr:colOff>
      <xdr:row>19</xdr:row>
      <xdr:rowOff>49530</xdr:rowOff>
    </xdr:from>
    <xdr:to>
      <xdr:col>12</xdr:col>
      <xdr:colOff>510540</xdr:colOff>
      <xdr:row>34</xdr:row>
      <xdr:rowOff>49530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D739AC-CDD1-F6F1-B6BC-F73C6D83F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167640</xdr:colOff>
      <xdr:row>38</xdr:row>
      <xdr:rowOff>140970</xdr:rowOff>
    </xdr:from>
    <xdr:to>
      <xdr:col>12</xdr:col>
      <xdr:colOff>472440</xdr:colOff>
      <xdr:row>53</xdr:row>
      <xdr:rowOff>140970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6E8C8A0-E5AE-9FF4-32A2-2CA7DA901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E2FC-D4F6-462E-A7BC-00609E65FD8D}">
  <dimension ref="B3:D56"/>
  <sheetViews>
    <sheetView tabSelected="1" workbookViewId="0">
      <selection activeCell="O14" sqref="O14"/>
    </sheetView>
  </sheetViews>
  <sheetFormatPr defaultRowHeight="14.4" x14ac:dyDescent="0.3"/>
  <sheetData>
    <row r="3" spans="2:4" x14ac:dyDescent="0.3">
      <c r="B3">
        <v>1</v>
      </c>
      <c r="C3">
        <f>D3^2</f>
        <v>6.25</v>
      </c>
      <c r="D3">
        <v>2.5</v>
      </c>
    </row>
    <row r="4" spans="2:4" x14ac:dyDescent="0.3">
      <c r="B4">
        <v>2</v>
      </c>
      <c r="C4">
        <f>D4^2</f>
        <v>11.559999999999999</v>
      </c>
      <c r="D4">
        <v>3.4</v>
      </c>
    </row>
    <row r="5" spans="2:4" x14ac:dyDescent="0.3">
      <c r="B5">
        <v>3</v>
      </c>
      <c r="C5">
        <f>D5^2</f>
        <v>17.64</v>
      </c>
      <c r="D5">
        <v>4.2</v>
      </c>
    </row>
    <row r="6" spans="2:4" x14ac:dyDescent="0.3">
      <c r="B6">
        <v>4</v>
      </c>
      <c r="C6">
        <f>D6^2</f>
        <v>25</v>
      </c>
      <c r="D6">
        <v>5</v>
      </c>
    </row>
    <row r="7" spans="2:4" x14ac:dyDescent="0.3">
      <c r="B7">
        <v>5</v>
      </c>
      <c r="C7">
        <f>D7^2</f>
        <v>31.359999999999996</v>
      </c>
      <c r="D7">
        <v>5.6</v>
      </c>
    </row>
    <row r="9" spans="2:4" x14ac:dyDescent="0.3">
      <c r="B9" cm="1">
        <f t="array" ref="B9:C13">LINEST(C3:C7,B3:B7,TRUE,TRUE)</f>
        <v>6.3659999999999988</v>
      </c>
      <c r="C9">
        <v>-0.73599999999999355</v>
      </c>
    </row>
    <row r="10" spans="2:4" x14ac:dyDescent="0.3">
      <c r="B10">
        <v>0.2033486333041522</v>
      </c>
      <c r="C10">
        <v>0.67443111830144087</v>
      </c>
    </row>
    <row r="11" spans="2:4" x14ac:dyDescent="0.3">
      <c r="B11">
        <v>0.99694829088348513</v>
      </c>
      <c r="C11">
        <v>0.64304484032349218</v>
      </c>
    </row>
    <row r="12" spans="2:4" x14ac:dyDescent="0.3">
      <c r="B12">
        <v>980.05568632509187</v>
      </c>
      <c r="C12">
        <v>3</v>
      </c>
    </row>
    <row r="13" spans="2:4" x14ac:dyDescent="0.3">
      <c r="B13">
        <v>405.25955999999991</v>
      </c>
      <c r="C13">
        <v>1.2405199999999967</v>
      </c>
    </row>
    <row r="24" spans="2:4" x14ac:dyDescent="0.3">
      <c r="B24">
        <v>1</v>
      </c>
      <c r="C24">
        <f>D24^2</f>
        <v>4.8400000000000007</v>
      </c>
      <c r="D24">
        <v>2.2000000000000002</v>
      </c>
    </row>
    <row r="25" spans="2:4" x14ac:dyDescent="0.3">
      <c r="B25">
        <v>2</v>
      </c>
      <c r="C25">
        <f>D25^2</f>
        <v>9.6100000000000012</v>
      </c>
      <c r="D25">
        <v>3.1</v>
      </c>
    </row>
    <row r="26" spans="2:4" x14ac:dyDescent="0.3">
      <c r="B26">
        <v>3</v>
      </c>
      <c r="C26">
        <f>D26^2</f>
        <v>16</v>
      </c>
      <c r="D26">
        <v>4</v>
      </c>
    </row>
    <row r="27" spans="2:4" x14ac:dyDescent="0.3">
      <c r="B27">
        <v>4</v>
      </c>
      <c r="C27">
        <f>D27^2</f>
        <v>23.04</v>
      </c>
      <c r="D27">
        <v>4.8</v>
      </c>
    </row>
    <row r="28" spans="2:4" x14ac:dyDescent="0.3">
      <c r="B28">
        <v>5</v>
      </c>
      <c r="C28">
        <f>D28^2</f>
        <v>27.040000000000003</v>
      </c>
      <c r="D28">
        <v>5.2</v>
      </c>
    </row>
    <row r="30" spans="2:4" x14ac:dyDescent="0.3">
      <c r="B30" cm="1">
        <f t="array" ref="B30:C34">LINEST(C24:C28, B24:B28, TRUE, TRUE)</f>
        <v>5.7829999999999977</v>
      </c>
      <c r="C30">
        <v>-1.2429999999999914</v>
      </c>
    </row>
    <row r="31" spans="2:4" x14ac:dyDescent="0.3">
      <c r="B31">
        <v>0.27891635544251042</v>
      </c>
      <c r="C31">
        <v>0.92506089889620824</v>
      </c>
    </row>
    <row r="32" spans="2:4" x14ac:dyDescent="0.3">
      <c r="B32">
        <v>0.99306985007218107</v>
      </c>
      <c r="C32">
        <v>0.88201095987143385</v>
      </c>
    </row>
    <row r="33" spans="2:4" x14ac:dyDescent="0.3">
      <c r="B33">
        <v>429.89106747278373</v>
      </c>
      <c r="C33">
        <v>3</v>
      </c>
    </row>
    <row r="34" spans="2:4" x14ac:dyDescent="0.3">
      <c r="B34">
        <v>334.43089000000003</v>
      </c>
      <c r="C34">
        <v>2.3338299999999843</v>
      </c>
    </row>
    <row r="46" spans="2:4" x14ac:dyDescent="0.3">
      <c r="B46">
        <v>1</v>
      </c>
      <c r="C46">
        <f>D46^2</f>
        <v>5.2899999999999991</v>
      </c>
      <c r="D46">
        <v>2.2999999999999998</v>
      </c>
    </row>
    <row r="47" spans="2:4" x14ac:dyDescent="0.3">
      <c r="B47">
        <v>2</v>
      </c>
      <c r="C47">
        <f>D47^2</f>
        <v>10.240000000000002</v>
      </c>
      <c r="D47">
        <v>3.2</v>
      </c>
    </row>
    <row r="48" spans="2:4" x14ac:dyDescent="0.3">
      <c r="B48">
        <v>3</v>
      </c>
      <c r="C48">
        <f>D48^2</f>
        <v>16.809999999999999</v>
      </c>
      <c r="D48">
        <v>4.0999999999999996</v>
      </c>
    </row>
    <row r="49" spans="2:4" x14ac:dyDescent="0.3">
      <c r="B49">
        <v>4</v>
      </c>
      <c r="C49">
        <f>D49^2</f>
        <v>23.04</v>
      </c>
      <c r="D49">
        <v>4.8</v>
      </c>
    </row>
    <row r="50" spans="2:4" x14ac:dyDescent="0.3">
      <c r="B50">
        <v>5</v>
      </c>
      <c r="C50">
        <f>D50^2</f>
        <v>28.09</v>
      </c>
      <c r="D50">
        <v>5.3</v>
      </c>
    </row>
    <row r="52" spans="2:4" x14ac:dyDescent="0.3">
      <c r="B52" cm="1">
        <f t="array" ref="B52:C56">LINEST(C46:C50,B46:B50,TRUE,TRUE)</f>
        <v>5.8399999999999981</v>
      </c>
      <c r="C52">
        <v>-0.82599999999999696</v>
      </c>
    </row>
    <row r="53" spans="2:4" x14ac:dyDescent="0.3">
      <c r="B53">
        <v>0.16363781144140546</v>
      </c>
      <c r="C53">
        <v>0.54272522206606777</v>
      </c>
    </row>
    <row r="54" spans="2:4" x14ac:dyDescent="0.3">
      <c r="B54">
        <v>0.99765014450973577</v>
      </c>
      <c r="C54">
        <v>0.51746819548000211</v>
      </c>
    </row>
    <row r="55" spans="2:4" x14ac:dyDescent="0.3">
      <c r="B55">
        <v>1273.6742518548199</v>
      </c>
      <c r="C55">
        <v>3</v>
      </c>
    </row>
    <row r="56" spans="2:4" x14ac:dyDescent="0.3">
      <c r="B56">
        <v>341.05599999999998</v>
      </c>
      <c r="C56">
        <v>0.80331999999998915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C431E246FA2441BE99F5BD31A4627C" ma:contentTypeVersion="1" ma:contentTypeDescription="Create a new document." ma:contentTypeScope="" ma:versionID="3dfbdcea7dfde8964d426805a2596863">
  <xsd:schema xmlns:xsd="http://www.w3.org/2001/XMLSchema" xmlns:xs="http://www.w3.org/2001/XMLSchema" xmlns:p="http://schemas.microsoft.com/office/2006/metadata/properties" xmlns:ns3="53adcc75-c18b-4b48-bd03-a0fe0d74f11c" targetNamespace="http://schemas.microsoft.com/office/2006/metadata/properties" ma:root="true" ma:fieldsID="8aa94415ef718ee6d689dd9a77ee7db2" ns3:_="">
    <xsd:import namespace="53adcc75-c18b-4b48-bd03-a0fe0d74f11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adcc75-c18b-4b48-bd03-a0fe0d74f11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1FE9B1-9AC5-4438-93F9-FD6347615FCD}">
  <ds:schemaRefs>
    <ds:schemaRef ds:uri="53adcc75-c18b-4b48-bd03-a0fe0d74f11c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1C58291-B79C-4CD7-B057-059CC63805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FBD49C-4202-4744-B91D-723427FCCC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adcc75-c18b-4b48-bd03-a0fe0d74f1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 Roemi</dc:creator>
  <cp:lastModifiedBy>Shai Roemi</cp:lastModifiedBy>
  <dcterms:created xsi:type="dcterms:W3CDTF">2026-07-23T16:03:14Z</dcterms:created>
  <dcterms:modified xsi:type="dcterms:W3CDTF">2026-07-23T18:25:56Z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0x01010043C431E246FA2441BE99F5BD31A4627C</vt:lpwstr>
  </property>
</Properties>
</file>